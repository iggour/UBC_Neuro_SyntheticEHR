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us" sheetId="1" state="visible" r:id="rId3"/>
    <sheet name="Checks v0" sheetId="2" state="visible" r:id="rId4"/>
    <sheet name="Validation plan" sheetId="3" state="visible" r:id="rId5"/>
    <sheet name="Limits and fix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<sst xmlns="http://schemas.openxmlformats.org/spreadsheetml/2006/main" count="135" uniqueCount="119">
  <si>
    <t xml:space="preserve">Consistency checker: where things stand</t>
  </si>
  <si>
    <t xml:space="preserve">Status as discussed in this conversation. 'Checked' items were read by a person, not by a program.</t>
  </si>
  <si>
    <t xml:space="preserve">Part</t>
  </si>
  <si>
    <t xml:space="preserve">State</t>
  </si>
  <si>
    <t xml:space="preserve">Notes</t>
  </si>
  <si>
    <t xml:space="preserve">Fact sheet format (YAML template)</t>
  </si>
  <si>
    <t xml:space="preserve">Written</t>
  </si>
  <si>
    <t xml:space="preserve">Lives in the general (layer 1) prompt file.</t>
  </si>
  <si>
    <t xml:space="preserve">Fact sheets themselves</t>
  </si>
  <si>
    <t xml:space="preserve">Written by hand / generated</t>
  </si>
  <si>
    <t xml:space="preserve">Each of the five demos ends with a hand-written sheet; a few were generated with DeepSeek.</t>
  </si>
  <si>
    <t xml:space="preserve">Automatic check script (evaluator)</t>
  </si>
  <si>
    <t xml:space="preserve">NOT written</t>
  </si>
  <si>
    <t xml:space="preserve">The 'programmable checks' list in the generation prompt file is a design only.</t>
  </si>
  <si>
    <t xml:space="preserve">Validation that the checks work</t>
  </si>
  <si>
    <t xml:space="preserve">NOT done</t>
  </si>
  <si>
    <t xml:space="preserve">No false-alarm test, no injected-error test, no run on the DeepSeek versions.</t>
  </si>
  <si>
    <t xml:space="preserve">All checking so far</t>
  </si>
  <si>
    <t xml:space="preserve">By eye</t>
  </si>
  <si>
    <t xml:space="preserve">Dose plan comparison and English/Chinese comparison were read by a person; reading dozens of numbers by eye is unreliable.</t>
  </si>
  <si>
    <t xml:space="preserve">Feedback inside the web page</t>
  </si>
  <si>
    <t xml:space="preserve">Hand-written</t>
  </si>
  <si>
    <t xml:space="preserve">Feedback text was written into the page, not computed from the fact sheet.</t>
  </si>
  <si>
    <t xml:space="preserve">Fact-sheet table inside the web page</t>
  </si>
  <si>
    <t xml:space="preserve">Hand-filled</t>
  </si>
  <si>
    <t xml:space="preserve">Not linked to a data file.</t>
  </si>
  <si>
    <t xml:space="preserve">README line 'no automated consistency checker yet'</t>
  </si>
  <si>
    <t xml:space="preserve">Still true</t>
  </si>
  <si>
    <t xml:space="preserve">Keep until the script exists and is validated.</t>
  </si>
  <si>
    <t xml:space="preserve">Planned v0 checks (programmable only)</t>
  </si>
  <si>
    <t xml:space="preserve">#</t>
  </si>
  <si>
    <t xml:space="preserve">Check</t>
  </si>
  <si>
    <t xml:space="preserve">What is compared</t>
  </si>
  <si>
    <t xml:space="preserve">Compared against</t>
  </si>
  <si>
    <t xml:space="preserve">Automatable now?</t>
  </si>
  <si>
    <t xml:space="preserve">Status</t>
  </si>
  <si>
    <t xml:space="preserve">All 12 sections present</t>
  </si>
  <si>
    <t xml:space="preserve">Section headings (including 10.1 to 10.5) in the document</t>
  </si>
  <si>
    <t xml:space="preserve">Document skeleton in the general prompt file</t>
  </si>
  <si>
    <t xml:space="preserve">Yes</t>
  </si>
  <si>
    <t xml:space="preserve">Not written</t>
  </si>
  <si>
    <t xml:space="preserve">Dates in chronological order</t>
  </si>
  <si>
    <t xml:space="preserve">All dates in the document</t>
  </si>
  <si>
    <t xml:space="preserve">Timeline in the fact sheet</t>
  </si>
  <si>
    <t xml:space="preserve">Doses and scores match</t>
  </si>
  <si>
    <t xml:space="preserve">Doses and scale scores quoted in the document</t>
  </si>
  <si>
    <t xml:space="preserve">Fact sheet (doses, severity scores)</t>
  </si>
  <si>
    <t xml:space="preserve">Left/right consistent</t>
  </si>
  <si>
    <t xml:space="preserve">Side of lesion or findings across documents</t>
  </si>
  <si>
    <t xml:space="preserve">Fact sheet (lesion location)</t>
  </si>
  <si>
    <t xml:space="preserve">Final diagnosis not listed as excluded</t>
  </si>
  <si>
    <t xml:space="preserve">Excluded differentials list</t>
  </si>
  <si>
    <t xml:space="preserve">Fact sheet (diagnosis, differential)</t>
  </si>
  <si>
    <t xml:space="preserve">Tetrabenazine titration follows guidance</t>
  </si>
  <si>
    <t xml:space="preserve">Week-by-week dose plan</t>
  </si>
  <si>
    <t xml:space="preserve">Guideline layer, huntington/treatment file</t>
  </si>
  <si>
    <t xml:space="preserve">How to prove the checks work</t>
  </si>
  <si>
    <t xml:space="preserve">Legend: yellow cells are for you to fill in (Y or N in 'Caught?'; counts in the false-alarm block). Example row below is not counted.</t>
  </si>
  <si>
    <t xml:space="preserve">Step</t>
  </si>
  <si>
    <t xml:space="preserve">Test</t>
  </si>
  <si>
    <t xml:space="preserve">What it measures</t>
  </si>
  <si>
    <t xml:space="preserve">Expected result</t>
  </si>
  <si>
    <t xml:space="preserve">Run the checker on the current demos</t>
  </si>
  <si>
    <t xml:space="preserve">False alarms (does it flag correct text?)</t>
  </si>
  <si>
    <t xml:space="preserve">Demos pass with no flags</t>
  </si>
  <si>
    <t xml:space="preserve">Not run</t>
  </si>
  <si>
    <t xml:space="preserve">Copy the demos and inject known errors</t>
  </si>
  <si>
    <t xml:space="preserve">Detection rate (does it catch wrong text?)</t>
  </si>
  <si>
    <t xml:space="preserve">Each injected error is flagged</t>
  </si>
  <si>
    <t xml:space="preserve">Run on the two DeepSeek versions (with / without guidance layer)</t>
  </si>
  <si>
    <t xml:space="preserve">Whether the script finds the layer difference without a person reading</t>
  </si>
  <si>
    <t xml:space="preserve">Missing genotyping requirement flagged in one version</t>
  </si>
  <si>
    <t xml:space="preserve">Injected-error log</t>
  </si>
  <si>
    <t xml:space="preserve">Error type</t>
  </si>
  <si>
    <t xml:space="preserve">Example change</t>
  </si>
  <si>
    <t xml:space="preserve">Check that should catch it</t>
  </si>
  <si>
    <t xml:space="preserve">Caught? (Y/N)</t>
  </si>
  <si>
    <t xml:space="preserve">Example (not counted): date moved</t>
  </si>
  <si>
    <t xml:space="preserve">Follow-up visit dated before the surgery</t>
  </si>
  <si>
    <t xml:space="preserve">Check 2</t>
  </si>
  <si>
    <t xml:space="preserve">Y</t>
  </si>
  <si>
    <t xml:space="preserve">Format example only</t>
  </si>
  <si>
    <t xml:space="preserve">Lesion size changed</t>
  </si>
  <si>
    <t xml:space="preserve">3.8 cm changed to 4.2 cm in one document</t>
  </si>
  <si>
    <t xml:space="preserve">Check 3</t>
  </si>
  <si>
    <t xml:space="preserve">Laterality flipped</t>
  </si>
  <si>
    <t xml:space="preserve">Left changed to right</t>
  </si>
  <si>
    <t xml:space="preserve">Check 4</t>
  </si>
  <si>
    <t xml:space="preserve">Date moved earlier</t>
  </si>
  <si>
    <t xml:space="preserve">Event dated before the previous event</t>
  </si>
  <si>
    <t xml:space="preserve">Wrong dose</t>
  </si>
  <si>
    <t xml:space="preserve">Dose changed in one place only</t>
  </si>
  <si>
    <t xml:space="preserve">Summary</t>
  </si>
  <si>
    <t xml:space="preserve">Errors injected</t>
  </si>
  <si>
    <t xml:space="preserve">Errors caught (Y)</t>
  </si>
  <si>
    <t xml:space="preserve">Detection rate</t>
  </si>
  <si>
    <t xml:space="preserve">Demos tested (step 1)</t>
  </si>
  <si>
    <t xml:space="preserve">False alarms in step 1</t>
  </si>
  <si>
    <t xml:space="preserve">False alarms per demo</t>
  </si>
  <si>
    <t xml:space="preserve">Assumption: detection rate counts only the rows listed above; add more rows inside the yellow range to widen the test.</t>
  </si>
  <si>
    <t xml:space="preserve">What the checker cannot do, and one wording fix</t>
  </si>
  <si>
    <t xml:space="preserve">Limit</t>
  </si>
  <si>
    <t xml:space="preserve">Explanation</t>
  </si>
  <si>
    <t xml:space="preserve">How to word it</t>
  </si>
  <si>
    <t xml:space="preserve">Consistent but clinically wrong</t>
  </si>
  <si>
    <t xml:space="preserve">The checker only compares text with the fact sheet and written rules. The imaging problem in the Huntington demo was fully consistent, yet clinically unreasonable.</t>
  </si>
  <si>
    <t xml:space="preserve">Say 'consistency and traceability', not 'guaranteed correct content'.</t>
  </si>
  <si>
    <t xml:space="preserve">Application wording fix (lay summary, third paragraph)</t>
  </si>
  <si>
    <t xml:space="preserve">Version</t>
  </si>
  <si>
    <t xml:space="preserve">Sentence</t>
  </si>
  <si>
    <t xml:space="preserve">Characters</t>
  </si>
  <si>
    <t xml:space="preserve">Current (reads as if the program already exists)</t>
  </si>
  <si>
    <t xml:space="preserve">a computer program checks that the content is consistent and matches published sources</t>
  </si>
  <si>
    <t xml:space="preserve">Proposed (future tense)</t>
  </si>
  <si>
    <t xml:space="preserve">a computer program will check that the content is consistent and matches published sources</t>
  </si>
  <si>
    <t xml:space="preserve">Characters added</t>
  </si>
  <si>
    <t xml:space="preserve">Lay summary total after fix (was 1,818 of 3,000)</t>
  </si>
  <si>
    <t xml:space="preserve">Assumptions: 1,818 is the lay summary count measured earlier with a program. If the Google Doc or the form is already updated, change the same sentence in both places.</t>
  </si>
  <si>
    <t xml:space="preserve">Scientific summary: 'Build automated checks' is already a future action, so no change is needed there.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</si>
</sst>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8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15" hidden="false" customHeight="false" outlineLevel="0" collapsed="false">
      <c r="A8" s="4" t="s">
        <v>14</v>
      </c>
      <c r="B8" s="4" t="s">
        <v>15</v>
      </c>
      <c r="C8" s="4" t="s">
        <v>16</v>
      </c>
    </row>
    <row r="9" customFormat="false" ht="23.85" hidden="false" customHeight="false" outlineLevel="0" collapsed="false">
      <c r="A9" s="4" t="s">
        <v>17</v>
      </c>
      <c r="B9" s="4" t="s">
        <v>18</v>
      </c>
      <c r="C9" s="4" t="s">
        <v>19</v>
      </c>
    </row>
    <row r="10" customFormat="false" ht="15" hidden="false" customHeight="false" outlineLevel="0" collapsed="false">
      <c r="A10" s="4" t="s">
        <v>20</v>
      </c>
      <c r="B10" s="4" t="s">
        <v>21</v>
      </c>
      <c r="C10" s="4" t="s">
        <v>22</v>
      </c>
    </row>
    <row r="11" customFormat="false" ht="15" hidden="false" customHeight="false" outlineLevel="0" collapsed="false">
      <c r="A11" s="4" t="s">
        <v>23</v>
      </c>
      <c r="B11" s="4" t="s">
        <v>24</v>
      </c>
      <c r="C11" s="4" t="s">
        <v>25</v>
      </c>
    </row>
    <row r="12" customFormat="false" ht="23.85" hidden="false" customHeight="false" outlineLevel="0" collapsed="false">
      <c r="A12" s="4" t="s">
        <v>26</v>
      </c>
      <c r="B12" s="4" t="s">
        <v>27</v>
      </c>
      <c r="C12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1" t="s">
        <v>29</v>
      </c>
    </row>
    <row r="3" customFormat="false" ht="15" hidden="false" customHeight="false" outlineLevel="0" collapsed="false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</row>
    <row r="4" customFormat="false" ht="23.85" hidden="false" customHeight="false" outlineLevel="0" collapsed="false">
      <c r="A4" s="4" t="n">
        <v>1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</row>
    <row r="5" customFormat="false" ht="15" hidden="false" customHeight="false" outlineLevel="0" collapsed="false">
      <c r="A5" s="4" t="n">
        <v>2</v>
      </c>
      <c r="B5" s="4" t="s">
        <v>41</v>
      </c>
      <c r="C5" s="4" t="s">
        <v>42</v>
      </c>
      <c r="D5" s="4" t="s">
        <v>43</v>
      </c>
      <c r="E5" s="4" t="s">
        <v>39</v>
      </c>
      <c r="F5" s="4" t="s">
        <v>40</v>
      </c>
    </row>
    <row r="6" customFormat="false" ht="15" hidden="false" customHeight="false" outlineLevel="0" collapsed="false">
      <c r="A6" s="4" t="n">
        <v>3</v>
      </c>
      <c r="B6" s="4" t="s">
        <v>44</v>
      </c>
      <c r="C6" s="4" t="s">
        <v>45</v>
      </c>
      <c r="D6" s="4" t="s">
        <v>46</v>
      </c>
      <c r="E6" s="4" t="s">
        <v>39</v>
      </c>
      <c r="F6" s="4" t="s">
        <v>40</v>
      </c>
    </row>
    <row r="7" customFormat="false" ht="15" hidden="false" customHeight="false" outlineLevel="0" collapsed="false">
      <c r="A7" s="4" t="n">
        <v>4</v>
      </c>
      <c r="B7" s="4" t="s">
        <v>47</v>
      </c>
      <c r="C7" s="4" t="s">
        <v>48</v>
      </c>
      <c r="D7" s="4" t="s">
        <v>49</v>
      </c>
      <c r="E7" s="4" t="s">
        <v>39</v>
      </c>
      <c r="F7" s="4" t="s">
        <v>40</v>
      </c>
    </row>
    <row r="8" customFormat="false" ht="15" hidden="false" customHeight="false" outlineLevel="0" collapsed="false">
      <c r="A8" s="4" t="n">
        <v>5</v>
      </c>
      <c r="B8" s="4" t="s">
        <v>50</v>
      </c>
      <c r="C8" s="4" t="s">
        <v>51</v>
      </c>
      <c r="D8" s="4" t="s">
        <v>52</v>
      </c>
      <c r="E8" s="4" t="s">
        <v>39</v>
      </c>
      <c r="F8" s="4" t="s">
        <v>40</v>
      </c>
    </row>
    <row r="9" customFormat="false" ht="15" hidden="false" customHeight="false" outlineLevel="0" collapsed="false">
      <c r="A9" s="4" t="n">
        <v>6</v>
      </c>
      <c r="B9" s="4" t="s">
        <v>53</v>
      </c>
      <c r="C9" s="4" t="s">
        <v>54</v>
      </c>
      <c r="D9" s="4" t="s">
        <v>55</v>
      </c>
      <c r="E9" s="4" t="s">
        <v>39</v>
      </c>
      <c r="F9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44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A4" s="3" t="s">
        <v>58</v>
      </c>
      <c r="B4" s="3" t="s">
        <v>59</v>
      </c>
      <c r="C4" s="3" t="s">
        <v>60</v>
      </c>
      <c r="D4" s="3" t="s">
        <v>61</v>
      </c>
      <c r="E4" s="3" t="s">
        <v>35</v>
      </c>
    </row>
    <row r="5" customFormat="false" ht="15" hidden="false" customHeight="false" outlineLevel="0" collapsed="false">
      <c r="A5" s="4" t="n">
        <v>1</v>
      </c>
      <c r="B5" s="4" t="s">
        <v>62</v>
      </c>
      <c r="C5" s="4" t="s">
        <v>63</v>
      </c>
      <c r="D5" s="4" t="s">
        <v>64</v>
      </c>
      <c r="E5" s="4" t="s">
        <v>65</v>
      </c>
    </row>
    <row r="6" customFormat="false" ht="15" hidden="false" customHeight="false" outlineLevel="0" collapsed="false">
      <c r="A6" s="4" t="n">
        <v>2</v>
      </c>
      <c r="B6" s="4" t="s">
        <v>66</v>
      </c>
      <c r="C6" s="4" t="s">
        <v>67</v>
      </c>
      <c r="D6" s="4" t="s">
        <v>68</v>
      </c>
      <c r="E6" s="4" t="s">
        <v>65</v>
      </c>
    </row>
    <row r="7" customFormat="false" ht="23.85" hidden="false" customHeight="false" outlineLevel="0" collapsed="false">
      <c r="A7" s="4" t="n">
        <v>3</v>
      </c>
      <c r="B7" s="4" t="s">
        <v>69</v>
      </c>
      <c r="C7" s="4" t="s">
        <v>70</v>
      </c>
      <c r="D7" s="4" t="s">
        <v>71</v>
      </c>
      <c r="E7" s="4" t="s">
        <v>65</v>
      </c>
    </row>
    <row r="9" customFormat="false" ht="15" hidden="false" customHeight="false" outlineLevel="0" collapsed="false">
      <c r="A9" s="5" t="s">
        <v>72</v>
      </c>
    </row>
    <row r="10" customFormat="false" ht="15" hidden="false" customHeight="false" outlineLevel="0" collapsed="false">
      <c r="A10" s="3" t="s">
        <v>73</v>
      </c>
      <c r="B10" s="3" t="s">
        <v>74</v>
      </c>
      <c r="C10" s="3" t="s">
        <v>75</v>
      </c>
      <c r="D10" s="3" t="s">
        <v>76</v>
      </c>
      <c r="E10" s="3" t="s">
        <v>4</v>
      </c>
    </row>
    <row r="11" customFormat="false" ht="23.85" hidden="false" customHeight="false" outlineLevel="0" collapsed="false">
      <c r="A11" s="6" t="s">
        <v>77</v>
      </c>
      <c r="B11" s="6" t="s">
        <v>78</v>
      </c>
      <c r="C11" s="6" t="s">
        <v>79</v>
      </c>
      <c r="D11" s="6" t="s">
        <v>80</v>
      </c>
      <c r="E11" s="6" t="s">
        <v>81</v>
      </c>
    </row>
    <row r="12" customFormat="false" ht="15" hidden="false" customHeight="false" outlineLevel="0" collapsed="false">
      <c r="A12" s="4" t="s">
        <v>82</v>
      </c>
      <c r="B12" s="4" t="s">
        <v>83</v>
      </c>
      <c r="C12" s="4" t="s">
        <v>84</v>
      </c>
      <c r="D12" s="7"/>
      <c r="E12" s="7"/>
    </row>
    <row r="13" customFormat="false" ht="15" hidden="false" customHeight="false" outlineLevel="0" collapsed="false">
      <c r="A13" s="4" t="s">
        <v>85</v>
      </c>
      <c r="B13" s="4" t="s">
        <v>86</v>
      </c>
      <c r="C13" s="4" t="s">
        <v>87</v>
      </c>
      <c r="D13" s="7"/>
      <c r="E13" s="7"/>
    </row>
    <row r="14" customFormat="false" ht="15" hidden="false" customHeight="false" outlineLevel="0" collapsed="false">
      <c r="A14" s="4" t="s">
        <v>88</v>
      </c>
      <c r="B14" s="4" t="s">
        <v>89</v>
      </c>
      <c r="C14" s="4" t="s">
        <v>79</v>
      </c>
      <c r="D14" s="7"/>
      <c r="E14" s="7"/>
    </row>
    <row r="15" customFormat="false" ht="15" hidden="false" customHeight="false" outlineLevel="0" collapsed="false">
      <c r="A15" s="4" t="s">
        <v>90</v>
      </c>
      <c r="B15" s="4" t="s">
        <v>91</v>
      </c>
      <c r="C15" s="4" t="s">
        <v>84</v>
      </c>
      <c r="D15" s="7"/>
      <c r="E15" s="7"/>
    </row>
    <row r="16" customFormat="false" ht="15" hidden="false" customHeight="false" outlineLevel="0" collapsed="false">
      <c r="A16" s="8"/>
      <c r="B16" s="4"/>
      <c r="C16" s="4"/>
      <c r="D16" s="7"/>
      <c r="E16" s="7"/>
    </row>
    <row r="17" customFormat="false" ht="15" hidden="false" customHeight="false" outlineLevel="0" collapsed="false">
      <c r="A17" s="8"/>
      <c r="B17" s="4"/>
      <c r="C17" s="4"/>
      <c r="D17" s="7"/>
      <c r="E17" s="7"/>
    </row>
    <row r="19" customFormat="false" ht="15" hidden="false" customHeight="false" outlineLevel="0" collapsed="false">
      <c r="A19" s="5" t="s">
        <v>92</v>
      </c>
    </row>
    <row r="20" customFormat="false" ht="15" hidden="false" customHeight="false" outlineLevel="0" collapsed="false">
      <c r="A20" s="9" t="s">
        <v>93</v>
      </c>
      <c r="B20" s="10" t="n">
        <f aca="false">COUNTA(A12:A17)</f>
        <v>4</v>
      </c>
    </row>
    <row r="21" customFormat="false" ht="15" hidden="false" customHeight="false" outlineLevel="0" collapsed="false">
      <c r="A21" s="9" t="s">
        <v>94</v>
      </c>
      <c r="B21" s="10" t="n">
        <f aca="false">COUNTIF(D12:D17,"Y")</f>
        <v>0</v>
      </c>
    </row>
    <row r="22" customFormat="false" ht="15" hidden="false" customHeight="false" outlineLevel="0" collapsed="false">
      <c r="A22" s="9" t="s">
        <v>95</v>
      </c>
      <c r="B22" s="11" t="str">
        <f aca="false">IF(B20=0,"n/a",IF(COUNTA(D12:D17)=0,"not run yet",B21/B20))</f>
        <v>not run yet</v>
      </c>
    </row>
    <row r="24" customFormat="false" ht="15" hidden="false" customHeight="false" outlineLevel="0" collapsed="false">
      <c r="A24" s="9" t="s">
        <v>96</v>
      </c>
      <c r="B24" s="12"/>
    </row>
    <row r="25" customFormat="false" ht="15" hidden="false" customHeight="false" outlineLevel="0" collapsed="false">
      <c r="A25" s="9" t="s">
        <v>97</v>
      </c>
      <c r="B25" s="12"/>
    </row>
    <row r="26" customFormat="false" ht="15" hidden="false" customHeight="false" outlineLevel="0" collapsed="false">
      <c r="A26" s="9" t="s">
        <v>98</v>
      </c>
      <c r="B26" s="13" t="str">
        <f aca="false">IF(OR(B24="",B24=0),"not run yet",B25/B24)</f>
        <v>not run yet</v>
      </c>
    </row>
    <row r="28" customFormat="false" ht="15" hidden="false" customHeight="false" outlineLevel="0" collapsed="false">
      <c r="A28" s="14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100</v>
      </c>
    </row>
    <row r="3" customFormat="false" ht="15" hidden="false" customHeight="false" outlineLevel="0" collapsed="false">
      <c r="A3" s="3" t="s">
        <v>101</v>
      </c>
      <c r="B3" s="3" t="s">
        <v>102</v>
      </c>
      <c r="C3" s="3" t="s">
        <v>103</v>
      </c>
    </row>
    <row r="4" customFormat="false" ht="23.85" hidden="false" customHeight="false" outlineLevel="0" collapsed="false">
      <c r="A4" s="4" t="s">
        <v>104</v>
      </c>
      <c r="B4" s="4" t="s">
        <v>105</v>
      </c>
      <c r="C4" s="4" t="s">
        <v>106</v>
      </c>
    </row>
    <row r="6" customFormat="false" ht="15" hidden="false" customHeight="false" outlineLevel="0" collapsed="false">
      <c r="A6" s="5" t="s">
        <v>107</v>
      </c>
    </row>
    <row r="7" customFormat="false" ht="15" hidden="false" customHeight="false" outlineLevel="0" collapsed="false">
      <c r="A7" s="15" t="s">
        <v>108</v>
      </c>
      <c r="B7" s="15" t="s">
        <v>109</v>
      </c>
      <c r="C7" s="15" t="s">
        <v>110</v>
      </c>
    </row>
    <row r="8" customFormat="false" ht="23.85" hidden="false" customHeight="false" outlineLevel="0" collapsed="false">
      <c r="A8" s="4" t="s">
        <v>111</v>
      </c>
      <c r="B8" s="4" t="s">
        <v>112</v>
      </c>
      <c r="C8" s="4" t="n">
        <f aca="false">LEN(B8)</f>
        <v>86</v>
      </c>
    </row>
    <row r="9" customFormat="false" ht="23.85" hidden="false" customHeight="false" outlineLevel="0" collapsed="false">
      <c r="A9" s="4" t="s">
        <v>113</v>
      </c>
      <c r="B9" s="4" t="s">
        <v>114</v>
      </c>
      <c r="C9" s="4" t="n">
        <f aca="false">LEN(B9)</f>
        <v>90</v>
      </c>
    </row>
    <row r="10" customFormat="false" ht="15" hidden="false" customHeight="false" outlineLevel="0" collapsed="false">
      <c r="A10" s="5" t="s">
        <v>115</v>
      </c>
      <c r="C10" s="2" t="n">
        <f aca="false">C9-C8</f>
        <v>4</v>
      </c>
    </row>
    <row r="11" customFormat="false" ht="15" hidden="false" customHeight="false" outlineLevel="0" collapsed="false">
      <c r="A11" s="5" t="s">
        <v>116</v>
      </c>
      <c r="C11" s="2" t="n">
        <f aca="false">1818+C10</f>
        <v>1822</v>
      </c>
    </row>
    <row r="13" customFormat="false" ht="15" hidden="false" customHeight="false" outlineLevel="0" collapsed="false">
      <c r="A13" s="14" t="s">
        <v>117</v>
      </c>
    </row>
    <row r="14" customFormat="false" ht="15" hidden="false" customHeight="false" outlineLevel="0" collapsed="false">
      <c r="A14" s="14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2026-10-13T22:18:16Z</dcterms:created>
  <dc:creator>openpyxl</dc:creator>
  <dc:description/>
  <dc:language>en-US</dc:language>
  <cp:lastModifiedBy/>
  <dcterms:modified xsi:type="dcterms:W3CDTF">2026-10-13T22:18:16Z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